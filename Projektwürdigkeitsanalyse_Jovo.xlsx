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DieseArbeitsmappe"/>
  <mc:AlternateContent xmlns:mc="http://schemas.openxmlformats.org/markup-compatibility/2006">
    <mc:Choice Requires="x15">
      <x15ac:absPath xmlns:x15ac="http://schemas.microsoft.com/office/spreadsheetml/2010/11/ac" url="H:\Projektwürdigkeitsanalyse_Jovo\"/>
    </mc:Choice>
  </mc:AlternateContent>
  <xr:revisionPtr revIDLastSave="0" documentId="13_ncr:1_{6111CC7B-E800-4750-9AE2-7E27DD94D212}" xr6:coauthVersionLast="47" xr6:coauthVersionMax="47" xr10:uidLastSave="{00000000-0000-0000-0000-000000000000}"/>
  <bookViews>
    <workbookView xWindow="-120" yWindow="-120" windowWidth="29040" windowHeight="16440" xr2:uid="{2B98C886-53C6-4C38-874D-17CCB06E3DF5}"/>
  </bookViews>
  <sheets>
    <sheet name="Projektwürdigkeitsanalys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1" l="1"/>
  <c r="I8" i="1"/>
  <c r="I9" i="1"/>
  <c r="I10" i="1"/>
  <c r="I12" i="1"/>
  <c r="I13" i="1"/>
  <c r="I14" i="1"/>
  <c r="I15" i="1"/>
  <c r="I16" i="1"/>
  <c r="I17" i="1"/>
  <c r="I18" i="1"/>
  <c r="G18" i="1"/>
  <c r="G8" i="1"/>
  <c r="G9" i="1"/>
  <c r="G10" i="1"/>
  <c r="G11" i="1"/>
  <c r="G12" i="1"/>
  <c r="G13" i="1"/>
  <c r="G14" i="1"/>
  <c r="G15" i="1"/>
  <c r="G16" i="1"/>
  <c r="G17" i="1"/>
  <c r="E8" i="1"/>
  <c r="E9" i="1"/>
  <c r="E10" i="1"/>
  <c r="E11" i="1"/>
  <c r="E12" i="1"/>
  <c r="E13" i="1"/>
  <c r="E14" i="1"/>
  <c r="E15" i="1"/>
  <c r="E16" i="1"/>
  <c r="E17" i="1"/>
  <c r="E18" i="1"/>
  <c r="E7" i="1"/>
  <c r="G7" i="1"/>
  <c r="I7" i="1"/>
  <c r="I19" i="1" l="1"/>
  <c r="E19" i="1"/>
  <c r="G19" i="1"/>
  <c r="J2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Spasojevic, Jovo</author>
  </authors>
  <commentList>
    <comment ref="D5" authorId="0" shapeId="0" xr:uid="{563CC031-21CD-41B8-A4C6-C96707ABB4DA}">
      <text>
        <r>
          <rPr>
            <b/>
            <sz val="9"/>
            <color indexed="81"/>
            <rFont val="Tahoma"/>
            <family val="2"/>
          </rPr>
          <t>Spasojevic, Jovo:</t>
        </r>
        <r>
          <rPr>
            <sz val="9"/>
            <color indexed="81"/>
            <rFont val="Tahoma"/>
            <family val="2"/>
          </rPr>
          <t xml:space="preserve">
normale Betriebs- und Verbesserungsarbeit</t>
        </r>
      </text>
    </comment>
    <comment ref="F5" authorId="0" shapeId="0" xr:uid="{009CA33C-F04B-446A-8D50-5628745AE5EA}">
      <text>
        <r>
          <rPr>
            <b/>
            <sz val="9"/>
            <color indexed="81"/>
            <rFont val="Tahoma"/>
            <family val="2"/>
          </rPr>
          <t>Spasojevic, Jovo:</t>
        </r>
        <r>
          <rPr>
            <sz val="9"/>
            <color indexed="81"/>
            <rFont val="Tahoma"/>
            <family val="2"/>
          </rPr>
          <t xml:space="preserve">
begrenztes Vorhaben mit Struktur</t>
        </r>
      </text>
    </comment>
    <comment ref="H5" authorId="0" shapeId="0" xr:uid="{19B0A034-7F01-4713-B7DA-289D9859F960}">
      <text>
        <r>
          <rPr>
            <b/>
            <sz val="9"/>
            <color indexed="81"/>
            <rFont val="Tahoma"/>
            <family val="2"/>
          </rPr>
          <t>Spasojevic, Jovo:</t>
        </r>
        <r>
          <rPr>
            <sz val="9"/>
            <color indexed="81"/>
            <rFont val="Tahoma"/>
            <family val="2"/>
          </rPr>
          <t xml:space="preserve">
komplexes Vorhaben mit Governance</t>
        </r>
      </text>
    </comment>
    <comment ref="B7" authorId="0" shapeId="0" xr:uid="{15BA2ED7-CD46-46CC-A926-CE0137F9D4E0}">
      <text>
        <r>
          <rPr>
            <b/>
            <sz val="9"/>
            <color indexed="81"/>
            <rFont val="Tahoma"/>
            <family val="2"/>
          </rPr>
          <t>Spasojevic, Jovo:</t>
        </r>
        <r>
          <rPr>
            <sz val="9"/>
            <color indexed="81"/>
            <rFont val="Tahoma"/>
            <family val="2"/>
          </rPr>
          <t xml:space="preserve">
Beschreibt, wie viele organisatorische Einheiten aktiv an Planung oder Umsetzung beteiligt sind.
Warum wichtig:
Je mehr Bereiche involviert sind, desto höher sind Koordinationsaufwand, Abstimmungsbedarf und Governance.</t>
        </r>
      </text>
    </comment>
    <comment ref="B8" authorId="0" shapeId="0" xr:uid="{07E25790-BA85-435F-8CFD-D39A875CD74E}">
      <text>
        <r>
          <rPr>
            <b/>
            <sz val="9"/>
            <color indexed="81"/>
            <rFont val="Tahoma"/>
            <charset val="1"/>
          </rPr>
          <t>Spasojevic, Jovo:</t>
        </r>
        <r>
          <rPr>
            <sz val="9"/>
            <color indexed="81"/>
            <rFont val="Tahoma"/>
            <charset val="1"/>
          </rPr>
          <t xml:space="preserve">
Anzahl Personen, die aktiv an Planung oder Umsetzung beteiligt sind.
Warum wichtig:
Grössere Teams erhöhen Koordinationsaufwand und Kommunikationsbedarf.</t>
        </r>
      </text>
    </comment>
    <comment ref="B9" authorId="0" shapeId="0" xr:uid="{47DE5C09-1AEB-4A0D-9D37-F84EC2EF62AD}">
      <text>
        <r>
          <rPr>
            <b/>
            <sz val="9"/>
            <color indexed="81"/>
            <rFont val="Tahoma"/>
            <family val="2"/>
          </rPr>
          <t>Spasojevic, Jovo:</t>
        </r>
        <r>
          <rPr>
            <sz val="9"/>
            <color indexed="81"/>
            <rFont val="Tahoma"/>
            <family val="2"/>
          </rPr>
          <t xml:space="preserve">
Beschreibt die Vielfalt der benötigten Kompetenzen oder Rollen.
Warum wichtig:
Je mehr unterschiedliche Rollen (z. B. Infrastruktur, Security, Entwicklung, Betrieb) beteiligt sind, desto komplexer wird das Vorhaben.</t>
        </r>
      </text>
    </comment>
    <comment ref="B10" authorId="0" shapeId="0" xr:uid="{4A7BFDEE-96D7-47BC-8BF6-3CD286A3D4A8}">
      <text>
        <r>
          <rPr>
            <b/>
            <sz val="9"/>
            <color indexed="81"/>
            <rFont val="Tahoma"/>
            <charset val="1"/>
          </rPr>
          <t>Spasojevic, Jovo:</t>
        </r>
        <r>
          <rPr>
            <sz val="9"/>
            <color indexed="81"/>
            <rFont val="Tahoma"/>
            <charset val="1"/>
          </rPr>
          <t xml:space="preserve">
Geschätzter Gesamtaufwand in Personentagen über alle Beteiligten.
Warum wichtig:
Der Aufwand ist einer der wichtigsten Indikatoren für die Projektgrösse.</t>
        </r>
      </text>
    </comment>
    <comment ref="B11" authorId="0" shapeId="0" xr:uid="{84749E7A-B83B-4C40-84CA-DD5738513AE4}">
      <text>
        <r>
          <rPr>
            <b/>
            <sz val="9"/>
            <color indexed="81"/>
            <rFont val="Tahoma"/>
            <charset val="1"/>
          </rPr>
          <t>Spasojevic, Jovo:</t>
        </r>
        <r>
          <rPr>
            <sz val="9"/>
            <color indexed="81"/>
            <rFont val="Tahoma"/>
            <charset val="1"/>
          </rPr>
          <t xml:space="preserve">
Finanzielle Mittel, die für das Vorhaben benötigt werden (Software, Hardware, externe Leistungen).
Warum wichtig:
Höhere Investitionen erfordern stärkere Governance und Entscheidungsprozesse.</t>
        </r>
      </text>
    </comment>
    <comment ref="B12" authorId="0" shapeId="0" xr:uid="{0EA4FC2D-9E7E-46A5-AF1F-754C3F32B28D}">
      <text>
        <r>
          <rPr>
            <b/>
            <sz val="9"/>
            <color indexed="81"/>
            <rFont val="Tahoma"/>
            <charset val="1"/>
          </rPr>
          <t>Spasojevic, Jovo:</t>
        </r>
        <r>
          <rPr>
            <sz val="9"/>
            <color indexed="81"/>
            <rFont val="Tahoma"/>
            <charset val="1"/>
          </rPr>
          <t xml:space="preserve">
Zeitspanne vom Start bis zum Abschluss des Vorhabens.
Warum wichtig:
Längere Vorhaben erfordern strukturierte Planung und Steuerung.</t>
        </r>
      </text>
    </comment>
    <comment ref="B13" authorId="0" shapeId="0" xr:uid="{8586D607-3D4A-4A27-A220-71A3C367E56D}">
      <text>
        <r>
          <rPr>
            <b/>
            <sz val="9"/>
            <color indexed="81"/>
            <rFont val="Tahoma"/>
            <charset val="1"/>
          </rPr>
          <t>Spasojevic, Jovo:</t>
        </r>
        <r>
          <rPr>
            <sz val="9"/>
            <color indexed="81"/>
            <rFont val="Tahoma"/>
            <charset val="1"/>
          </rPr>
          <t xml:space="preserve">
Beschreibt, wie komplex die fachliche oder technische Lösung ist.
Warum wichtig:
Komplexe Lösungen erhöhen Risiko und Abstimmungsbedarf.</t>
        </r>
      </text>
    </comment>
    <comment ref="B14" authorId="0" shapeId="0" xr:uid="{359E82F0-A332-4B9D-8CCD-F2C0582A1CA4}">
      <text>
        <r>
          <rPr>
            <b/>
            <sz val="9"/>
            <color indexed="81"/>
            <rFont val="Tahoma"/>
            <charset val="1"/>
          </rPr>
          <t>Spasojevic, Jovo:</t>
        </r>
        <r>
          <rPr>
            <sz val="9"/>
            <color indexed="81"/>
            <rFont val="Tahoma"/>
            <charset val="1"/>
          </rPr>
          <t xml:space="preserve">
Grad der technischen Unsicherheit oder Neuartigkeit.
Warum wichtig:
Neue Technologien oder unbekannte Lösungen erhöhen das Projektrisiko.</t>
        </r>
      </text>
    </comment>
    <comment ref="B15" authorId="0" shapeId="0" xr:uid="{A65F171C-DC16-4305-B7BE-463237724734}">
      <text>
        <r>
          <rPr>
            <b/>
            <sz val="9"/>
            <color indexed="81"/>
            <rFont val="Tahoma"/>
            <charset val="1"/>
          </rPr>
          <t>Spasojevic, Jovo:</t>
        </r>
        <r>
          <rPr>
            <sz val="9"/>
            <color indexed="81"/>
            <rFont val="Tahoma"/>
            <charset val="1"/>
          </rPr>
          <t xml:space="preserve">
Beitrag des Vorhabens zur strategischen Entwicklung der ICT oder der Organisation.
Beispiele:
- lokale Verbesserung
- Verbesserung eines bestehenden Services
- strategisches IT-Thema</t>
        </r>
      </text>
    </comment>
    <comment ref="B16" authorId="0" shapeId="0" xr:uid="{52CA6370-C6AA-4FBC-B9B4-7FF47E2C0EDA}">
      <text>
        <r>
          <rPr>
            <b/>
            <sz val="9"/>
            <color indexed="81"/>
            <rFont val="Tahoma"/>
            <family val="2"/>
          </rPr>
          <t>Spasojevic, Jovo:</t>
        </r>
        <r>
          <rPr>
            <sz val="9"/>
            <color indexed="81"/>
            <rFont val="Tahoma"/>
            <family val="2"/>
          </rPr>
          <t xml:space="preserve">
Beschreibt, wie stark der laufende IT-Betrieb betroffen ist.
Warum wichtig:
Änderungen im Betrieb können Auswirkungen auf Support, Prozesse oder Infrastruktur haben.</t>
        </r>
      </text>
    </comment>
    <comment ref="B17" authorId="0" shapeId="0" xr:uid="{250C2364-5B60-48A3-AE77-74C7E0EC1CCD}">
      <text>
        <r>
          <rPr>
            <b/>
            <sz val="9"/>
            <color indexed="81"/>
            <rFont val="Tahoma"/>
            <family val="2"/>
          </rPr>
          <t>Spasojevic, Jovo:</t>
        </r>
        <r>
          <rPr>
            <sz val="9"/>
            <color indexed="81"/>
            <rFont val="Tahoma"/>
            <family val="2"/>
          </rPr>
          <t xml:space="preserve">
Risiken im Zusammenhang mit Datenschutz, Informationssicherheit oder regulatorischen Anforderungen.
Warum wichtig:
Wir sind in der Forschung und im Public Sector</t>
        </r>
      </text>
    </comment>
    <comment ref="B18" authorId="0" shapeId="0" xr:uid="{4009BA8D-6136-4B25-92E7-E7AB4BF853F1}">
      <text>
        <r>
          <rPr>
            <b/>
            <sz val="9"/>
            <color indexed="81"/>
            <rFont val="Tahoma"/>
            <charset val="1"/>
          </rPr>
          <t>Spasojevic, Jovo:</t>
        </r>
        <r>
          <rPr>
            <sz val="9"/>
            <color indexed="81"/>
            <rFont val="Tahoma"/>
            <charset val="1"/>
          </rPr>
          <t xml:space="preserve">
Wie viele Nutzerinnen und Nutzer von der Lösung betroffen sind.
Warum wichtig:
Je mehr User betroffen sind, desto grösser ist die Wirkung und das Risiko.</t>
        </r>
      </text>
    </comment>
  </commentList>
</comments>
</file>

<file path=xl/sharedStrings.xml><?xml version="1.0" encoding="utf-8"?>
<sst xmlns="http://schemas.openxmlformats.org/spreadsheetml/2006/main" count="107" uniqueCount="56">
  <si>
    <t>Projektwürdigkeitsanalyse - ICT - Empa</t>
  </si>
  <si>
    <t>Ausfüllen durch User</t>
  </si>
  <si>
    <t>Kriterien</t>
  </si>
  <si>
    <t>Change</t>
  </si>
  <si>
    <t>Kleinprojekt</t>
  </si>
  <si>
    <t>Projekt</t>
  </si>
  <si>
    <t>Auswahl</t>
  </si>
  <si>
    <t>L</t>
  </si>
  <si>
    <t>K</t>
  </si>
  <si>
    <t>P</t>
  </si>
  <si>
    <t>Anzahl der involvierten Bereiche (Abteilungen, Teams usw.)</t>
  </si>
  <si>
    <t>1 Bereich</t>
  </si>
  <si>
    <t>2 Bereiche</t>
  </si>
  <si>
    <t>&gt;= 3 Bereiche</t>
  </si>
  <si>
    <t>Grösse des gesamten Projektteams</t>
  </si>
  <si>
    <t>&lt; 2 Personen</t>
  </si>
  <si>
    <t>3-5 Personen</t>
  </si>
  <si>
    <t>&gt;= 6 Personen</t>
  </si>
  <si>
    <t>Ressourcenmix</t>
  </si>
  <si>
    <t>einfach (1 Rolle)</t>
  </si>
  <si>
    <t>mittel (2 Rollen)</t>
  </si>
  <si>
    <t>hoch (&gt;3 Rollen)</t>
  </si>
  <si>
    <t>Personalaufwand</t>
  </si>
  <si>
    <t>&lt; 10 Tage</t>
  </si>
  <si>
    <t>11-30 Tage</t>
  </si>
  <si>
    <t>&gt;= 31 Tage</t>
  </si>
  <si>
    <t>Investitionen</t>
  </si>
  <si>
    <t>&lt; 10k CHF</t>
  </si>
  <si>
    <t>11-30k CHF</t>
  </si>
  <si>
    <t>&gt;= 31k CHF</t>
  </si>
  <si>
    <t>Dauer</t>
  </si>
  <si>
    <t>&lt; 2 Wochen</t>
  </si>
  <si>
    <t>2-4 Wochen</t>
  </si>
  <si>
    <t>&gt;= 1 Monat</t>
  </si>
  <si>
    <t>Inhaltliche Komplexität</t>
  </si>
  <si>
    <t>gering</t>
  </si>
  <si>
    <t>mittel</t>
  </si>
  <si>
    <t>hoch</t>
  </si>
  <si>
    <t>Technologisches Risiko</t>
  </si>
  <si>
    <t>Strategische Bedeutung</t>
  </si>
  <si>
    <t>gering (lokale Verbesserung)</t>
  </si>
  <si>
    <t>mittel (Verbesserung eines Services)</t>
  </si>
  <si>
    <t>hoch (strategisches IT-Thema)</t>
  </si>
  <si>
    <t>Auswirkungen auf Betrieb</t>
  </si>
  <si>
    <t>gering (keine Betriebsänderung)</t>
  </si>
  <si>
    <t>mittel (kleine Anpassung)</t>
  </si>
  <si>
    <t>hoch (neue Betriebsprozesse)</t>
  </si>
  <si>
    <t>Sicherheits- / Compliance-Risiko</t>
  </si>
  <si>
    <t>gering (keine sensiblen Daten)</t>
  </si>
  <si>
    <t>mittel (interne Daten)</t>
  </si>
  <si>
    <t>hoch (personenbezogene Daten)</t>
  </si>
  <si>
    <t>Anzahl betroffene User</t>
  </si>
  <si>
    <t>gering (&lt;10)</t>
  </si>
  <si>
    <t>mittel (10-100)</t>
  </si>
  <si>
    <t>hoch (&gt;200)</t>
  </si>
  <si>
    <t>Empfehlung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</si>
</sst>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color theme="0"/>
      <name val="Segoe U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color theme="1"/>
      <name val="Segoe UI"/>
      <family val="2"/>
    </font>
    <font>
      <b/>
      <sz val="20"/>
      <color theme="1"/>
      <name val="Segoe U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8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3" fontId="0" fillId="0" borderId="0" xfId="0" applyNumberFormat="1"/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  <xf numFmtId="0" fontId="6" fillId="0" borderId="0" xfId="0" applyFont="1"/>
    <xf numFmtId="0" fontId="0" fillId="0" borderId="1" xfId="0" applyBorder="1"/>
    <xf numFmtId="3" fontId="0" fillId="0" borderId="0" xfId="0" applyNumberFormat="1" applyAlignme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3" borderId="1" xfId="0" applyFont="1" applyFill="1" applyBorder="1" applyAlignment="1">
      <alignment horizontal="right" vertical="center"/>
    </xf>
    <xf numFmtId="0" fontId="5" fillId="3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0" fillId="2" borderId="1" xfId="0" applyFill="1" applyBorder="1" applyAlignment="1">
      <alignment vertical="center"/>
    </xf>
    <xf numFmtId="0" fontId="1" fillId="4" borderId="0" xfId="0" applyFont="1" applyFill="1" applyAlignment="1">
      <alignment horizontal="left" vertical="center"/>
    </xf>
    <xf numFmtId="0" fontId="0" fillId="4" borderId="1" xfId="0" applyFill="1" applyBorder="1" applyAlignment="1" applyProtection="1">
      <alignment vertical="center"/>
      <protection locked="0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54546-44D7-44B4-B905-55D2E15EFE7D}">
  <sheetPr codeName="Tabelle1"/>
  <dimension ref="B3:Y20"/>
  <sheetViews>
    <sheetView showGridLines="0" tabSelected="1" topLeftCell="C10" workbookViewId="0">
      <selection activeCell="Y27" sqref="Y27"/>
    </sheetView>
  </sheetViews>
  <sheetFormatPr baseColWidth="10" defaultColWidth="9.140625" defaultRowHeight="14.25" x14ac:dyDescent="0.25"/>
  <cols>
    <col min="2" max="2" width="72.5703125" bestFit="1" customWidth="1"/>
    <col min="3" max="3" width="2.5703125" customWidth="1"/>
    <col min="4" max="4" width="35.5703125" customWidth="1"/>
    <col min="5" max="5" width="2.5703125" customWidth="1"/>
    <col min="6" max="6" width="35.5703125" customWidth="1"/>
    <col min="7" max="7" width="2.5703125" customWidth="1"/>
    <col min="8" max="8" width="35.5703125" customWidth="1"/>
    <col min="9" max="9" width="2.5703125" customWidth="1"/>
    <col min="10" max="10" width="35.5703125" customWidth="1"/>
    <col min="15" max="15" width="0" hidden="1" customWidth="1"/>
    <col min="16" max="16" width="1.85546875" style="9" hidden="1" customWidth="1"/>
    <col min="17" max="17" width="2" style="9" hidden="1" customWidth="1"/>
    <col min="18" max="18" width="1.85546875" style="9" hidden="1" customWidth="1"/>
    <col min="19" max="23" width="9.140625" hidden="1" customWidth="1"/>
    <col min="24" max="24" width="0" hidden="1" customWidth="1"/>
  </cols>
  <sheetData>
    <row r="3" spans="2:25" ht="30.75" x14ac:dyDescent="0.55000000000000004">
      <c r="B3" s="4" t="s">
        <v>0</v>
      </c>
      <c r="C3" s="4"/>
      <c r="J3" s="18" t="s">
        <v>1</v>
      </c>
    </row>
    <row r="5" spans="2:25" s="2" customFormat="1" ht="24.95" customHeight="1" x14ac:dyDescent="0.25">
      <c r="B5" s="3" t="s">
        <v>2</v>
      </c>
      <c r="C5" s="7"/>
      <c r="D5" s="3" t="s">
        <v>3</v>
      </c>
      <c r="E5" s="7"/>
      <c r="F5" s="3" t="s">
        <v>4</v>
      </c>
      <c r="G5" s="7"/>
      <c r="H5" s="3" t="s">
        <v>5</v>
      </c>
      <c r="I5" s="7"/>
      <c r="J5" s="3" t="s">
        <v>6</v>
      </c>
      <c r="P5" s="10" t="s">
        <v>7</v>
      </c>
      <c r="Q5" s="10" t="s">
        <v>8</v>
      </c>
      <c r="R5" s="10" t="s">
        <v>9</v>
      </c>
    </row>
    <row r="6" spans="2:25" ht="17.100000000000001" customHeight="1" x14ac:dyDescent="0.25">
      <c r="B6" s="5"/>
      <c r="D6" s="5"/>
      <c r="F6" s="5"/>
      <c r="H6" s="5"/>
      <c r="J6" s="5"/>
      <c r="Y6" s="1"/>
    </row>
    <row r="7" spans="2:25" s="2" customFormat="1" ht="39.950000000000003" customHeight="1" x14ac:dyDescent="0.25">
      <c r="B7" s="8" t="s">
        <v>10</v>
      </c>
      <c r="D7" s="17" t="s">
        <v>11</v>
      </c>
      <c r="E7" s="15">
        <f>IF(J7=D7,P7,"")</f>
        <v>2</v>
      </c>
      <c r="F7" s="17" t="s">
        <v>12</v>
      </c>
      <c r="G7" s="15" t="str">
        <f>IF(J7=F7,Q7,"")</f>
        <v/>
      </c>
      <c r="H7" s="17" t="s">
        <v>13</v>
      </c>
      <c r="I7" s="15" t="str">
        <f>IF(J7=H7,R7,"")</f>
        <v/>
      </c>
      <c r="J7" s="19" t="s">
        <v>11</v>
      </c>
      <c r="P7" s="10">
        <v>2</v>
      </c>
      <c r="Q7" s="10">
        <v>2</v>
      </c>
      <c r="R7" s="10">
        <v>3</v>
      </c>
      <c r="U7" s="2" t="s">
        <v>11</v>
      </c>
      <c r="V7" s="2" t="s">
        <v>12</v>
      </c>
      <c r="W7" s="2" t="s">
        <v>13</v>
      </c>
      <c r="Y7" s="6"/>
    </row>
    <row r="8" spans="2:25" s="2" customFormat="1" ht="39.950000000000003" customHeight="1" x14ac:dyDescent="0.25">
      <c r="B8" s="8" t="s">
        <v>14</v>
      </c>
      <c r="D8" s="17" t="s">
        <v>15</v>
      </c>
      <c r="E8" s="15">
        <f t="shared" ref="E8:E18" si="0">IF(J8=D8,P8,"")</f>
        <v>1</v>
      </c>
      <c r="F8" s="17" t="s">
        <v>16</v>
      </c>
      <c r="G8" s="15" t="str">
        <f t="shared" ref="G8:G17" si="1">IF(J8=F8,Q8,"")</f>
        <v/>
      </c>
      <c r="H8" s="17" t="s">
        <v>17</v>
      </c>
      <c r="I8" s="15" t="str">
        <f t="shared" ref="I8:I18" si="2">IF(J8=H8,R8,"")</f>
        <v/>
      </c>
      <c r="J8" s="19" t="s">
        <v>15</v>
      </c>
      <c r="P8" s="10">
        <v>1</v>
      </c>
      <c r="Q8" s="10">
        <v>2</v>
      </c>
      <c r="R8" s="10">
        <v>2</v>
      </c>
      <c r="U8" s="2" t="s">
        <v>15</v>
      </c>
      <c r="V8" s="2" t="s">
        <v>16</v>
      </c>
      <c r="W8" s="2" t="s">
        <v>17</v>
      </c>
      <c r="Y8" s="6"/>
    </row>
    <row r="9" spans="2:25" s="2" customFormat="1" ht="39.950000000000003" customHeight="1" x14ac:dyDescent="0.25">
      <c r="B9" s="8" t="s">
        <v>18</v>
      </c>
      <c r="D9" s="17" t="s">
        <v>19</v>
      </c>
      <c r="E9" s="15">
        <f t="shared" si="0"/>
        <v>1</v>
      </c>
      <c r="F9" s="17" t="s">
        <v>20</v>
      </c>
      <c r="G9" s="15" t="str">
        <f t="shared" si="1"/>
        <v/>
      </c>
      <c r="H9" s="17" t="s">
        <v>21</v>
      </c>
      <c r="I9" s="15" t="str">
        <f t="shared" si="2"/>
        <v/>
      </c>
      <c r="J9" s="19" t="s">
        <v>19</v>
      </c>
      <c r="P9" s="10">
        <v>1</v>
      </c>
      <c r="Q9" s="10">
        <v>2</v>
      </c>
      <c r="R9" s="10">
        <v>3</v>
      </c>
      <c r="U9" s="2" t="s">
        <v>19</v>
      </c>
      <c r="V9" s="2" t="s">
        <v>20</v>
      </c>
      <c r="W9" s="2" t="s">
        <v>21</v>
      </c>
    </row>
    <row r="10" spans="2:25" s="2" customFormat="1" ht="39.950000000000003" customHeight="1" x14ac:dyDescent="0.25">
      <c r="B10" s="8" t="s">
        <v>22</v>
      </c>
      <c r="D10" s="17" t="s">
        <v>23</v>
      </c>
      <c r="E10" s="15">
        <f t="shared" si="0"/>
        <v>1</v>
      </c>
      <c r="F10" s="17" t="s">
        <v>24</v>
      </c>
      <c r="G10" s="15" t="str">
        <f t="shared" si="1"/>
        <v/>
      </c>
      <c r="H10" s="17" t="s">
        <v>25</v>
      </c>
      <c r="I10" s="15" t="str">
        <f t="shared" si="2"/>
        <v/>
      </c>
      <c r="J10" s="19" t="s">
        <v>23</v>
      </c>
      <c r="P10" s="10">
        <v>1</v>
      </c>
      <c r="Q10" s="10">
        <v>1</v>
      </c>
      <c r="R10" s="10">
        <v>1</v>
      </c>
      <c r="U10" s="2" t="s">
        <v>23</v>
      </c>
      <c r="V10" s="2" t="s">
        <v>24</v>
      </c>
      <c r="W10" s="2" t="s">
        <v>25</v>
      </c>
      <c r="Y10" s="6"/>
    </row>
    <row r="11" spans="2:25" s="2" customFormat="1" ht="39.950000000000003" customHeight="1" x14ac:dyDescent="0.25">
      <c r="B11" s="8" t="s">
        <v>26</v>
      </c>
      <c r="D11" s="17" t="s">
        <v>27</v>
      </c>
      <c r="E11" s="15">
        <f t="shared" si="0"/>
        <v>1</v>
      </c>
      <c r="F11" s="17" t="s">
        <v>28</v>
      </c>
      <c r="G11" s="15" t="str">
        <f t="shared" si="1"/>
        <v/>
      </c>
      <c r="H11" s="17" t="s">
        <v>29</v>
      </c>
      <c r="I11" s="15" t="str">
        <f>IF(J11=H11,R11,"")</f>
        <v/>
      </c>
      <c r="J11" s="19" t="s">
        <v>27</v>
      </c>
      <c r="P11" s="10">
        <v>1</v>
      </c>
      <c r="Q11" s="10">
        <v>2</v>
      </c>
      <c r="R11" s="10">
        <v>3</v>
      </c>
      <c r="U11" s="2" t="s">
        <v>27</v>
      </c>
      <c r="V11" s="2" t="s">
        <v>28</v>
      </c>
      <c r="W11" s="2" t="s">
        <v>29</v>
      </c>
      <c r="Y11" s="6"/>
    </row>
    <row r="12" spans="2:25" s="2" customFormat="1" ht="39.950000000000003" customHeight="1" x14ac:dyDescent="0.25">
      <c r="B12" s="8" t="s">
        <v>30</v>
      </c>
      <c r="D12" s="17" t="s">
        <v>31</v>
      </c>
      <c r="E12" s="15">
        <f t="shared" si="0"/>
        <v>1</v>
      </c>
      <c r="F12" s="17" t="s">
        <v>32</v>
      </c>
      <c r="G12" s="15" t="str">
        <f t="shared" si="1"/>
        <v/>
      </c>
      <c r="H12" s="17" t="s">
        <v>33</v>
      </c>
      <c r="I12" s="15" t="str">
        <f t="shared" si="2"/>
        <v/>
      </c>
      <c r="J12" s="19" t="s">
        <v>31</v>
      </c>
      <c r="P12" s="10">
        <v>1</v>
      </c>
      <c r="Q12" s="10">
        <v>1</v>
      </c>
      <c r="R12" s="10">
        <v>1</v>
      </c>
      <c r="U12" s="2" t="s">
        <v>31</v>
      </c>
      <c r="V12" s="2" t="s">
        <v>32</v>
      </c>
      <c r="W12" s="2" t="s">
        <v>33</v>
      </c>
    </row>
    <row r="13" spans="2:25" s="2" customFormat="1" ht="39.950000000000003" customHeight="1" x14ac:dyDescent="0.25">
      <c r="B13" s="8" t="s">
        <v>34</v>
      </c>
      <c r="D13" s="17" t="s">
        <v>35</v>
      </c>
      <c r="E13" s="15">
        <f t="shared" si="0"/>
        <v>1</v>
      </c>
      <c r="F13" s="17" t="s">
        <v>36</v>
      </c>
      <c r="G13" s="15" t="str">
        <f t="shared" si="1"/>
        <v/>
      </c>
      <c r="H13" s="17" t="s">
        <v>37</v>
      </c>
      <c r="I13" s="15" t="str">
        <f t="shared" si="2"/>
        <v/>
      </c>
      <c r="J13" s="19" t="s">
        <v>35</v>
      </c>
      <c r="P13" s="10">
        <v>1</v>
      </c>
      <c r="Q13" s="10">
        <v>1</v>
      </c>
      <c r="R13" s="10">
        <v>1</v>
      </c>
      <c r="U13" s="2" t="s">
        <v>35</v>
      </c>
      <c r="V13" s="2" t="s">
        <v>36</v>
      </c>
      <c r="W13" s="2" t="s">
        <v>37</v>
      </c>
    </row>
    <row r="14" spans="2:25" s="2" customFormat="1" ht="39.950000000000003" customHeight="1" x14ac:dyDescent="0.25">
      <c r="B14" s="8" t="s">
        <v>38</v>
      </c>
      <c r="D14" s="17" t="s">
        <v>35</v>
      </c>
      <c r="E14" s="15" t="str">
        <f t="shared" si="0"/>
        <v/>
      </c>
      <c r="F14" s="17" t="s">
        <v>36</v>
      </c>
      <c r="G14" s="15">
        <f t="shared" si="1"/>
        <v>1</v>
      </c>
      <c r="H14" s="17" t="s">
        <v>37</v>
      </c>
      <c r="I14" s="15" t="str">
        <f t="shared" si="2"/>
        <v/>
      </c>
      <c r="J14" s="19" t="s">
        <v>36</v>
      </c>
      <c r="P14" s="10">
        <v>1</v>
      </c>
      <c r="Q14" s="10">
        <v>1</v>
      </c>
      <c r="R14" s="10">
        <v>1</v>
      </c>
      <c r="U14" s="2" t="s">
        <v>35</v>
      </c>
      <c r="V14" s="2" t="s">
        <v>36</v>
      </c>
      <c r="W14" s="2" t="s">
        <v>37</v>
      </c>
    </row>
    <row r="15" spans="2:25" s="2" customFormat="1" ht="39.950000000000003" customHeight="1" x14ac:dyDescent="0.25">
      <c r="B15" s="8" t="s">
        <v>39</v>
      </c>
      <c r="D15" s="17" t="s">
        <v>40</v>
      </c>
      <c r="E15" s="15" t="str">
        <f t="shared" si="0"/>
        <v/>
      </c>
      <c r="F15" s="17" t="s">
        <v>41</v>
      </c>
      <c r="G15" s="15">
        <f t="shared" si="1"/>
        <v>2</v>
      </c>
      <c r="H15" s="17" t="s">
        <v>42</v>
      </c>
      <c r="I15" s="15" t="str">
        <f t="shared" si="2"/>
        <v/>
      </c>
      <c r="J15" s="19" t="s">
        <v>41</v>
      </c>
      <c r="P15" s="10">
        <v>1</v>
      </c>
      <c r="Q15" s="10">
        <v>2</v>
      </c>
      <c r="R15" s="10">
        <v>3</v>
      </c>
      <c r="U15" s="2" t="s">
        <v>40</v>
      </c>
      <c r="V15" s="2" t="s">
        <v>41</v>
      </c>
      <c r="W15" s="2" t="s">
        <v>42</v>
      </c>
    </row>
    <row r="16" spans="2:25" s="2" customFormat="1" ht="39.950000000000003" customHeight="1" x14ac:dyDescent="0.25">
      <c r="B16" s="8" t="s">
        <v>43</v>
      </c>
      <c r="D16" s="17" t="s">
        <v>44</v>
      </c>
      <c r="E16" s="15" t="str">
        <f t="shared" si="0"/>
        <v/>
      </c>
      <c r="F16" s="17" t="s">
        <v>45</v>
      </c>
      <c r="G16" s="15">
        <f t="shared" si="1"/>
        <v>1</v>
      </c>
      <c r="H16" s="17" t="s">
        <v>46</v>
      </c>
      <c r="I16" s="15" t="str">
        <f t="shared" si="2"/>
        <v/>
      </c>
      <c r="J16" s="19" t="s">
        <v>45</v>
      </c>
      <c r="P16" s="10">
        <v>1</v>
      </c>
      <c r="Q16" s="10">
        <v>1</v>
      </c>
      <c r="R16" s="10">
        <v>2</v>
      </c>
      <c r="U16" s="2" t="s">
        <v>44</v>
      </c>
      <c r="V16" s="2" t="s">
        <v>45</v>
      </c>
      <c r="W16" s="2" t="s">
        <v>46</v>
      </c>
    </row>
    <row r="17" spans="2:23" s="2" customFormat="1" ht="39.950000000000003" customHeight="1" x14ac:dyDescent="0.25">
      <c r="B17" s="8" t="s">
        <v>47</v>
      </c>
      <c r="D17" s="17" t="s">
        <v>48</v>
      </c>
      <c r="E17" s="15" t="str">
        <f t="shared" si="0"/>
        <v/>
      </c>
      <c r="F17" s="17" t="s">
        <v>49</v>
      </c>
      <c r="G17" s="15">
        <f t="shared" si="1"/>
        <v>2</v>
      </c>
      <c r="H17" s="17" t="s">
        <v>50</v>
      </c>
      <c r="I17" s="15" t="str">
        <f t="shared" si="2"/>
        <v/>
      </c>
      <c r="J17" s="19" t="s">
        <v>49</v>
      </c>
      <c r="P17" s="10">
        <v>1</v>
      </c>
      <c r="Q17" s="10">
        <v>2</v>
      </c>
      <c r="R17" s="10">
        <v>3</v>
      </c>
      <c r="U17" s="2" t="s">
        <v>48</v>
      </c>
      <c r="V17" s="2" t="s">
        <v>49</v>
      </c>
      <c r="W17" s="2" t="s">
        <v>50</v>
      </c>
    </row>
    <row r="18" spans="2:23" s="2" customFormat="1" ht="39.950000000000003" customHeight="1" x14ac:dyDescent="0.25">
      <c r="B18" s="8" t="s">
        <v>51</v>
      </c>
      <c r="D18" s="17" t="s">
        <v>52</v>
      </c>
      <c r="E18" s="15" t="str">
        <f t="shared" si="0"/>
        <v/>
      </c>
      <c r="F18" s="17" t="s">
        <v>53</v>
      </c>
      <c r="G18" s="15">
        <f>IF(J18=F18,Q18,"")</f>
        <v>2</v>
      </c>
      <c r="H18" s="17" t="s">
        <v>54</v>
      </c>
      <c r="I18" s="15" t="str">
        <f t="shared" si="2"/>
        <v/>
      </c>
      <c r="J18" s="19" t="s">
        <v>53</v>
      </c>
      <c r="P18" s="10">
        <v>2</v>
      </c>
      <c r="Q18" s="10">
        <v>2</v>
      </c>
      <c r="R18" s="10">
        <v>3</v>
      </c>
      <c r="U18" s="2" t="s">
        <v>52</v>
      </c>
      <c r="V18" s="2" t="s">
        <v>53</v>
      </c>
      <c r="W18" s="2" t="s">
        <v>54</v>
      </c>
    </row>
    <row r="19" spans="2:23" x14ac:dyDescent="0.25">
      <c r="E19" s="16">
        <f>SUM(E7:E18)</f>
        <v>8</v>
      </c>
      <c r="G19" s="16">
        <f>SUM(G7:G18)</f>
        <v>8</v>
      </c>
      <c r="I19" s="16">
        <f>SUM(I7:I18)</f>
        <v>0</v>
      </c>
    </row>
    <row r="20" spans="2:23" s="2" customFormat="1" ht="39.950000000000003" customHeight="1" x14ac:dyDescent="0.25">
      <c r="B20" s="11"/>
      <c r="C20" s="12"/>
      <c r="D20" s="12"/>
      <c r="E20" s="12"/>
      <c r="F20" s="12"/>
      <c r="G20" s="12"/>
      <c r="H20" s="13" t="s">
        <v>55</v>
      </c>
      <c r="I20" s="12"/>
      <c r="J20" s="14" t="str">
        <f>IF(J7="","",(IF((AND(E19&gt;G19,E19&gt;I19)),D5,IF(AND(G19&gt;E19,G19&gt;I19),F5,H5))))</f>
        <v>Projekt</v>
      </c>
      <c r="P20" s="10"/>
      <c r="Q20" s="10"/>
      <c r="R20" s="10"/>
    </row>
  </sheetData>
  <phoneticPr fontId="9" type="noConversion"/>
  <dataValidations disablePrompts="1" count="12">
    <dataValidation type="list" allowBlank="1" showInputMessage="1" showErrorMessage="1" sqref="J7" xr:uid="{DAA6D486-7016-45E3-BA15-5B28E5EA137E}">
      <formula1>$U$7:$W$7</formula1>
    </dataValidation>
    <dataValidation type="list" allowBlank="1" showInputMessage="1" showErrorMessage="1" sqref="J8" xr:uid="{3F4B43E2-FD5A-4E60-84EF-D4FFB50693CB}">
      <formula1>$U$8:$W$8</formula1>
    </dataValidation>
    <dataValidation type="list" allowBlank="1" showInputMessage="1" showErrorMessage="1" sqref="J9" xr:uid="{856939F9-0392-4DB2-8A0B-2754085D0FD6}">
      <formula1>$U$9:$W$9</formula1>
    </dataValidation>
    <dataValidation type="list" allowBlank="1" showInputMessage="1" showErrorMessage="1" sqref="J10" xr:uid="{6FC179BB-48CC-450B-AFEA-142F74D53976}">
      <formula1>$U$10:$W$10</formula1>
    </dataValidation>
    <dataValidation type="list" allowBlank="1" showInputMessage="1" showErrorMessage="1" sqref="J11" xr:uid="{0A71C437-BACB-4D10-80DF-E41761C49116}">
      <formula1>$U$11:$W$11</formula1>
    </dataValidation>
    <dataValidation type="list" allowBlank="1" showInputMessage="1" showErrorMessage="1" sqref="J12" xr:uid="{7D9E799B-82C8-48C2-A2FF-0917C9553065}">
      <formula1>$U$12:$W$12</formula1>
    </dataValidation>
    <dataValidation type="list" allowBlank="1" showInputMessage="1" showErrorMessage="1" sqref="J13" xr:uid="{03D615A8-734B-45FF-9381-9A7A1A6F6580}">
      <formula1>$U$13:$W$13</formula1>
    </dataValidation>
    <dataValidation type="list" allowBlank="1" showInputMessage="1" showErrorMessage="1" sqref="J14" xr:uid="{B1ADC9AE-8897-4C92-9D0D-3BDFCEA6ED44}">
      <formula1>$U$14:$W$14</formula1>
    </dataValidation>
    <dataValidation type="list" allowBlank="1" showInputMessage="1" showErrorMessage="1" sqref="J15" xr:uid="{F26468CA-C6BE-425E-9DC8-B0BD1B9114D1}">
      <formula1>$U$15:$W$15</formula1>
    </dataValidation>
    <dataValidation type="list" allowBlank="1" showInputMessage="1" showErrorMessage="1" sqref="J16" xr:uid="{77DE147A-17BF-4A24-A50C-212A6BD58415}">
      <formula1>$U$16:$W$16</formula1>
    </dataValidation>
    <dataValidation type="list" allowBlank="1" showInputMessage="1" showErrorMessage="1" sqref="J17" xr:uid="{2B21E491-08AA-4CE1-B85D-D12145834383}">
      <formula1>$U$17:$W$17</formula1>
    </dataValidation>
    <dataValidation type="list" allowBlank="1" showInputMessage="1" showErrorMessage="1" sqref="J18" xr:uid="{51C4CD43-19F5-4147-8030-4FF9D43F7A18}">
      <formula1>$U$18:$W$18</formula1>
    </dataValidation>
  </dataValidations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BED375C6DB3A84BBD73555A9A6CF129" ma:contentTypeVersion="39" ma:contentTypeDescription="Ein neues Dokument erstellen." ma:contentTypeScope="" ma:versionID="f0aef7210a4888a687ef59cdf49dff75">
  <xsd:schema xmlns:xsd="http://www.w3.org/2001/XMLSchema" xmlns:xs="http://www.w3.org/2001/XMLSchema" xmlns:p="http://schemas.microsoft.com/office/2006/metadata/properties" xmlns:ns1="40ef73aa-3540-4afe-b974-0f4eb1e81ef8" xmlns:ns2="http://schemas.microsoft.com/sharepoint/v3" xmlns:ns3="4eaf35a3-5eb2-40d3-8297-7ad4bdf1c6d5" targetNamespace="http://schemas.microsoft.com/office/2006/metadata/properties" ma:root="true" ma:fieldsID="9a3043be9839cd5df08826d9c5630a66" ns1:_="" ns2:_="" ns3:_="">
    <xsd:import namespace="40ef73aa-3540-4afe-b974-0f4eb1e81ef8"/>
    <xsd:import namespace="http://schemas.microsoft.com/sharepoint/v3"/>
    <xsd:import namespace="4eaf35a3-5eb2-40d3-8297-7ad4bdf1c6d5"/>
    <xsd:element name="properties">
      <xsd:complexType>
        <xsd:sequence>
          <xsd:element name="documentManagement">
            <xsd:complexType>
              <xsd:all>
                <xsd:element ref="ns1:PA" minOccurs="0"/>
                <xsd:element ref="ns1:EuSGApproved" minOccurs="0"/>
                <xsd:element ref="ns1:Kontakt_Neu" minOccurs="0"/>
                <xsd:element ref="ns1:Bemerkung" minOccurs="0"/>
                <xsd:element ref="ns1:MediaServiceMetadata" minOccurs="0"/>
                <xsd:element ref="ns1:MediaServiceFastMetadata" minOccurs="0"/>
                <xsd:element ref="ns1:MediaServiceObjectDetectorVersions" minOccurs="0"/>
                <xsd:element ref="ns1:MediaServiceDateTaken" minOccurs="0"/>
                <xsd:element ref="ns1:MediaServiceGenerationTime" minOccurs="0"/>
                <xsd:element ref="ns1:MediaServiceEventHashCode" minOccurs="0"/>
                <xsd:element ref="ns1:MediaLengthInSeconds" minOccurs="0"/>
                <xsd:element ref="ns3:SharedWithUsers" minOccurs="0"/>
                <xsd:element ref="ns3:SharedWithDetails" minOccurs="0"/>
                <xsd:element ref="ns1:lcf76f155ced4ddcb4097134ff3c332f" minOccurs="0"/>
                <xsd:element ref="ns3:TaxCatchAll" minOccurs="0"/>
                <xsd:element ref="ns1:MediaServiceOCR" minOccurs="0"/>
                <xsd:element ref="ns2:DocumentSetDescription" minOccurs="0"/>
                <xsd:element ref="ns1:MediaServiceSearchProperties" minOccurs="0"/>
                <xsd:element ref="ns1:Kommentar" minOccurs="0"/>
                <xsd:element ref="ns1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ef73aa-3540-4afe-b974-0f4eb1e81ef8" elementFormDefault="qualified">
    <xsd:import namespace="http://schemas.microsoft.com/office/2006/documentManagement/types"/>
    <xsd:import namespace="http://schemas.microsoft.com/office/infopath/2007/PartnerControls"/>
    <xsd:element name="PA" ma:index="0" nillable="true" ma:displayName="PA" ma:description="Projektantragsnummer" ma:format="Dropdown" ma:indexed="true" ma:internalName="PA">
      <xsd:simpleType>
        <xsd:restriction base="dms:Text">
          <xsd:maxLength value="255"/>
        </xsd:restriction>
      </xsd:simpleType>
    </xsd:element>
    <xsd:element name="EuSGApproved" ma:index="3" nillable="true" ma:displayName="EuSG Approved" ma:default="0" ma:description="EuSG Approved" ma:format="Dropdown" ma:internalName="EuSGApproved">
      <xsd:simpleType>
        <xsd:restriction base="dms:Boolean"/>
      </xsd:simpleType>
    </xsd:element>
    <xsd:element name="Kontakt_Neu" ma:index="4" nillable="true" ma:displayName="Projektleitung" ma:description="Projektleitung" ma:format="Dropdown" ma:list="UserInfo" ma:SharePointGroup="0" ma:internalName="Kontakt_Neu" ma:readOnly="fals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Bemerkung" ma:index="5" nillable="true" ma:displayName="Bemerkung " ma:description="Bemerkung " ma:format="Dropdown" ma:internalName="Bemerkung">
      <xsd:simpleType>
        <xsd:restriction base="dms:Text">
          <xsd:maxLength value="255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Bildmarkierungen" ma:readOnly="false" ma:fieldId="{5cf76f15-5ced-4ddc-b409-7134ff3c332f}" ma:taxonomyMulti="true" ma:sspId="dc9e7485-be34-49c4-99ae-4536981a188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Kommentar" ma:index="27" nillable="true" ma:displayName="Kommentar" ma:description="erläuternde Infos zur Dokumentation" ma:format="Dropdown" ma:internalName="Kommentar">
      <xsd:simpleType>
        <xsd:restriction base="dms:Note">
          <xsd:maxLength value="255"/>
        </xsd:restriction>
      </xsd:simpleType>
    </xsd:element>
    <xsd:element name="MediaServiceLocation" ma:index="2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DocumentSetDescription" ma:index="25" nillable="true" ma:displayName="Beschreibung" ma:description="Eine kurze Beschreibung des Projektes respektive Projektantrags" ma:internalName="DocumentSetDescription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af35a3-5eb2-40d3-8297-7ad4bdf1c6d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8e566164-274f-423e-a15f-de5aaf5241f9}" ma:internalName="TaxCatchAll" ma:showField="CatchAllData" ma:web="4eaf35a3-5eb2-40d3-8297-7ad4bdf1c6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2" ma:displayName="Inhaltstyp"/>
        <xsd:element ref="dc:title" minOccurs="0" maxOccurs="1" ma:index="2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SetDescription xmlns="http://schemas.microsoft.com/sharepoint/v3" xsi:nil="true"/>
    <PA xmlns="40ef73aa-3540-4afe-b974-0f4eb1e81ef8" xsi:nil="true"/>
    <Kontakt_Neu xmlns="40ef73aa-3540-4afe-b974-0f4eb1e81ef8">
      <UserInfo>
        <DisplayName/>
        <AccountId xsi:nil="true"/>
        <AccountType/>
      </UserInfo>
    </Kontakt_Neu>
    <EuSGApproved xmlns="40ef73aa-3540-4afe-b974-0f4eb1e81ef8">false</EuSGApproved>
    <TaxCatchAll xmlns="4eaf35a3-5eb2-40d3-8297-7ad4bdf1c6d5" xsi:nil="true"/>
    <Kommentar xmlns="40ef73aa-3540-4afe-b974-0f4eb1e81ef8" xsi:nil="true"/>
    <Bemerkung xmlns="40ef73aa-3540-4afe-b974-0f4eb1e81ef8" xsi:nil="true"/>
    <lcf76f155ced4ddcb4097134ff3c332f xmlns="40ef73aa-3540-4afe-b974-0f4eb1e81e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1CF3287-B170-4086-B5C4-0449FDAF40C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0AF703C-5E45-416D-BF27-7B3A65F40D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ef73aa-3540-4afe-b974-0f4eb1e81ef8"/>
    <ds:schemaRef ds:uri="http://schemas.microsoft.com/sharepoint/v3"/>
    <ds:schemaRef ds:uri="4eaf35a3-5eb2-40d3-8297-7ad4bdf1c6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697AEC9-CCED-44FE-8C3C-145E980D06F7}">
  <ds:schemaRefs>
    <ds:schemaRef ds:uri="http://www.w3.org/XML/1998/namespace"/>
    <ds:schemaRef ds:uri="http://schemas.microsoft.com/office/2006/documentManagement/types"/>
    <ds:schemaRef ds:uri="http://purl.org/dc/elements/1.1/"/>
    <ds:schemaRef ds:uri="http://purl.org/dc/terms/"/>
    <ds:schemaRef ds:uri="http://purl.org/dc/dcmitype/"/>
    <ds:schemaRef ds:uri="http://schemas.microsoft.com/office/infopath/2007/PartnerControls"/>
    <ds:schemaRef ds:uri="40ef73aa-3540-4afe-b974-0f4eb1e81ef8"/>
    <ds:schemaRef ds:uri="http://schemas.openxmlformats.org/package/2006/metadata/core-properties"/>
    <ds:schemaRef ds:uri="4eaf35a3-5eb2-40d3-8297-7ad4bdf1c6d5"/>
    <ds:schemaRef ds:uri="http://schemas.microsoft.com/sharepoint/v3"/>
    <ds:schemaRef ds:uri="http://schemas.microsoft.com/office/2006/metadata/properties"/>
  </ds:schemaRefs>
</ds:datastoreItem>
</file>

<file path=docMetadata/LabelInfo.xml><?xml version="1.0" encoding="utf-8"?>
<clbl:labelList xmlns:clbl="http://schemas.microsoft.com/office/2020/mipLabelMetadata">
  <clbl:label id="{57d89df2-dd68-41c1-9b64-81f74f077112}" enabled="0" method="" siteId="{57d89df2-dd68-41c1-9b64-81f74f07711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Projektwürdigkeitsanalyse</vt:lpstr>
    </vt:vector>
  </TitlesOfParts>
  <Manager/>
  <Company>Empa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Spasojevic, Jovo</dc:creator>
  <cp:keywords/>
  <dc:description/>
  <cp:lastModifiedBy>Aeschlimann, Joel</cp:lastModifiedBy>
  <cp:revision/>
  <dcterms:created xsi:type="dcterms:W3CDTF">2026-03-05T12:17:05Z</dcterms:created>
  <dcterms:modified xsi:type="dcterms:W3CDTF">2026-05-05T07:52:21Z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0x0101007BED375C6DB3A84BBD73555A9A6CF129</vt:lpwstr>
  </property>
  <property fmtid="{D5CDD505-2E9C-101B-9397-08002B2CF9AE}" pid="3" name="MediaServiceImageTags">
    <vt:lpwstr/>
  </property>
</Properties>
</file>